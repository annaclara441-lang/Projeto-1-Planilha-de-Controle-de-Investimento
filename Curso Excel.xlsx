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f858b982072e939/Curso/"/>
    </mc:Choice>
  </mc:AlternateContent>
  <xr:revisionPtr revIDLastSave="339" documentId="8_{046A5B0B-4454-479B-81CE-CB4B02A126CE}" xr6:coauthVersionLast="47" xr6:coauthVersionMax="47" xr10:uidLastSave="{380B4C32-D528-4239-80E6-6F1C177FF7ED}"/>
  <bookViews>
    <workbookView xWindow="-120" yWindow="-120" windowWidth="20730" windowHeight="11040" tabRatio="263" xr2:uid="{EC069E94-B0B0-45DF-8231-2C63D6BDEB51}"/>
  </bookViews>
  <sheets>
    <sheet name="Planilha1" sheetId="1" r:id="rId1"/>
    <sheet name="Planilha2" sheetId="2" r:id="rId2"/>
  </sheets>
  <definedNames>
    <definedName name="aporte">Planilha1!$C$4</definedName>
    <definedName name="patrimonio">Planilha1!$C$7</definedName>
    <definedName name="qtd_anos">Planilha1!$C$5</definedName>
    <definedName name="rendimento_carteira">Planilha1!$J$5</definedName>
    <definedName name="salario">Planilha1!$J$4</definedName>
    <definedName name="sugestao_investimento">Planilha1!$J$6</definedName>
    <definedName name="taxa_mensal">Planilha1!$C$6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G17" i="1" s="1"/>
  <c r="F12" i="1"/>
  <c r="A16" i="2"/>
  <c r="A17" i="2"/>
  <c r="A18" i="2"/>
  <c r="A19" i="2"/>
  <c r="A20" i="2"/>
  <c r="A21" i="2"/>
  <c r="A11" i="2"/>
  <c r="A12" i="2"/>
  <c r="A13" i="2"/>
  <c r="A14" i="2"/>
  <c r="A15" i="2"/>
  <c r="A10" i="2"/>
  <c r="A5" i="2"/>
  <c r="A6" i="2"/>
  <c r="A7" i="2"/>
  <c r="A8" i="2"/>
  <c r="A9" i="2"/>
  <c r="A4" i="2"/>
  <c r="C12" i="1"/>
  <c r="F4" i="1"/>
  <c r="G4" i="1" s="1"/>
  <c r="J6" i="1"/>
  <c r="F5" i="1"/>
  <c r="G5" i="1" s="1"/>
  <c r="F6" i="1"/>
  <c r="G6" i="1" s="1"/>
  <c r="F7" i="1"/>
  <c r="G7" i="1" s="1"/>
  <c r="F8" i="1"/>
  <c r="G8" i="1" s="1"/>
  <c r="C7" i="1"/>
  <c r="C8" i="1" s="1"/>
  <c r="G16" i="1" l="1"/>
  <c r="G13" i="1"/>
  <c r="G12" i="1"/>
  <c r="G15" i="1"/>
  <c r="G14" i="1"/>
  <c r="G18" i="1" l="1"/>
</calcChain>
</file>

<file path=xl/sharedStrings.xml><?xml version="1.0" encoding="utf-8"?>
<sst xmlns="http://schemas.openxmlformats.org/spreadsheetml/2006/main" count="70" uniqueCount="34">
  <si>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</si>
  <si>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</si>
  <si>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</si>
  <si>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</si>
  <si>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</si>
  <si>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</si>
  <si>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</si>
  <si>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</si>
  <si>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</si>
  <si>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</si>
  <si>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</si>
  <si>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</si>
  <si>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Rendimento Carteiras</t>
  </si>
  <si>
    <t>Salário</t>
  </si>
  <si>
    <t>CONFIGURAÇÕES</t>
  </si>
  <si>
    <t>DIVIDENDO</t>
  </si>
  <si>
    <t>Conservador</t>
  </si>
  <si>
    <t>Moderado</t>
  </si>
  <si>
    <t>Agressivo</t>
  </si>
  <si>
    <t>Perfil</t>
  </si>
  <si>
    <t>Valor a ser investido por mês</t>
  </si>
  <si>
    <t>Tipo de FII</t>
  </si>
  <si>
    <t xml:space="preserve">Percentual Sugerido </t>
  </si>
  <si>
    <t>Valores</t>
  </si>
  <si>
    <t>Papel</t>
  </si>
  <si>
    <t>Tijolo</t>
  </si>
  <si>
    <t>Híbridos</t>
  </si>
  <si>
    <t>FOF's</t>
  </si>
  <si>
    <t>Desenvolvimento</t>
  </si>
  <si>
    <t>Hotelarias</t>
  </si>
  <si>
    <t>%</t>
  </si>
  <si>
    <t>Chave</t>
  </si>
  <si>
    <t>Sugestão de Investimento (30%)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</si>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</sst>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&quot;R$&quot;\ #,##0.00"/>
  </numFmts>
  <fonts count="9" x14ac:knownFonts="1">
    <font>
      <sz val="10"/>
      <color theme="1"/>
      <name val="Times New Roman"/>
      <family val="2"/>
    </font>
    <font>
      <sz val="10"/>
      <color theme="1"/>
      <name val="Times New Roman"/>
      <family val="2"/>
    </font>
    <font>
      <b/>
      <sz val="20"/>
      <color theme="1"/>
      <name val="Times New Roman"/>
      <family val="1"/>
    </font>
    <font>
      <sz val="12"/>
      <color theme="1"/>
      <name val="Times New Roman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2"/>
    </font>
    <font>
      <b/>
      <sz val="18"/>
      <color theme="1"/>
      <name val="Times New Roman"/>
      <family val="1"/>
    </font>
    <font>
      <sz val="14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0" tint="-0.34998626667073579"/>
      </left>
      <right style="medium">
        <color theme="1"/>
      </right>
      <top style="thin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medium">
        <color theme="1"/>
      </bottom>
      <diagonal/>
    </border>
    <border>
      <left/>
      <right style="thin">
        <color theme="0" tint="-0.34998626667073579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medium">
        <color theme="1"/>
      </left>
      <right style="thin">
        <color theme="0" tint="-0.34998626667073579"/>
      </right>
      <top style="thin">
        <color theme="1"/>
      </top>
      <bottom style="thin">
        <color theme="0" tint="-0.34998626667073579"/>
      </bottom>
      <diagonal/>
    </border>
    <border>
      <left/>
      <right style="medium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/>
      <right style="medium">
        <color theme="1"/>
      </right>
      <top style="thin">
        <color theme="0" tint="-0.34998626667073579"/>
      </top>
      <bottom style="medium">
        <color theme="1"/>
      </bottom>
      <diagonal/>
    </border>
    <border>
      <left style="medium">
        <color theme="1"/>
      </left>
      <right style="thin">
        <color theme="0" tint="-0.34998626667073579"/>
      </right>
      <top style="medium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 style="medium">
        <color theme="1"/>
      </top>
      <bottom style="thin">
        <color theme="0" tint="-0.34998626667073579"/>
      </bottom>
      <diagonal/>
    </border>
    <border>
      <left style="medium">
        <color theme="1"/>
      </left>
      <right/>
      <top style="medium">
        <color theme="1"/>
      </top>
      <bottom style="thin">
        <color theme="0" tint="-0.34998626667073579"/>
      </bottom>
      <diagonal/>
    </border>
    <border>
      <left/>
      <right style="medium">
        <color theme="1"/>
      </right>
      <top style="medium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1"/>
      </top>
      <bottom style="thin">
        <color theme="0" tint="-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52">
    <xf numFmtId="0" fontId="0" fillId="0" borderId="0" xfId="0"/>
    <xf numFmtId="0" fontId="0" fillId="3" borderId="0" xfId="0" applyFill="1"/>
    <xf numFmtId="0" fontId="5" fillId="0" borderId="5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8" fontId="5" fillId="5" borderId="5" xfId="0" applyNumberFormat="1" applyFont="1" applyFill="1" applyBorder="1" applyAlignment="1">
      <alignment horizontal="center" vertical="center"/>
    </xf>
    <xf numFmtId="8" fontId="5" fillId="5" borderId="6" xfId="0" applyNumberFormat="1" applyFont="1" applyFill="1" applyBorder="1" applyAlignment="1">
      <alignment horizontal="center" vertical="center"/>
    </xf>
    <xf numFmtId="0" fontId="3" fillId="0" borderId="0" xfId="0" applyFont="1"/>
    <xf numFmtId="0" fontId="6" fillId="0" borderId="0" xfId="0" applyFont="1"/>
    <xf numFmtId="0" fontId="4" fillId="0" borderId="11" xfId="0" applyFont="1" applyBorder="1" applyAlignment="1">
      <alignment vertical="center"/>
    </xf>
    <xf numFmtId="0" fontId="5" fillId="5" borderId="11" xfId="0" applyFont="1" applyFill="1" applyBorder="1" applyAlignment="1">
      <alignment vertical="center"/>
    </xf>
    <xf numFmtId="0" fontId="5" fillId="5" borderId="12" xfId="0" applyFont="1" applyFill="1" applyBorder="1" applyAlignment="1">
      <alignment vertical="center"/>
    </xf>
    <xf numFmtId="0" fontId="4" fillId="0" borderId="13" xfId="0" applyFont="1" applyBorder="1" applyAlignment="1">
      <alignment vertical="center"/>
    </xf>
    <xf numFmtId="165" fontId="5" fillId="0" borderId="4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vertical="center"/>
    </xf>
    <xf numFmtId="165" fontId="4" fillId="5" borderId="15" xfId="1" applyNumberFormat="1" applyFont="1" applyFill="1" applyBorder="1" applyAlignment="1">
      <alignment horizontal="center" vertical="center"/>
    </xf>
    <xf numFmtId="165" fontId="4" fillId="5" borderId="10" xfId="1" applyNumberFormat="1" applyFont="1" applyFill="1" applyBorder="1" applyAlignment="1">
      <alignment horizontal="center" vertical="center"/>
    </xf>
    <xf numFmtId="165" fontId="4" fillId="5" borderId="1" xfId="1" applyNumberFormat="1" applyFont="1" applyFill="1" applyBorder="1" applyAlignment="1">
      <alignment horizontal="center" vertical="center"/>
    </xf>
    <xf numFmtId="165" fontId="4" fillId="5" borderId="14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165" fontId="4" fillId="5" borderId="5" xfId="1" applyNumberFormat="1" applyFont="1" applyFill="1" applyBorder="1" applyAlignment="1">
      <alignment horizontal="center" vertical="center"/>
    </xf>
    <xf numFmtId="165" fontId="4" fillId="5" borderId="16" xfId="1" applyNumberFormat="1" applyFont="1" applyFill="1" applyBorder="1" applyAlignment="1">
      <alignment horizontal="center" vertical="center"/>
    </xf>
    <xf numFmtId="165" fontId="4" fillId="5" borderId="17" xfId="1" applyNumberFormat="1" applyFont="1" applyFill="1" applyBorder="1" applyAlignment="1">
      <alignment horizontal="center" vertical="center"/>
    </xf>
    <xf numFmtId="0" fontId="5" fillId="5" borderId="11" xfId="0" applyFont="1" applyFill="1" applyBorder="1"/>
    <xf numFmtId="0" fontId="5" fillId="5" borderId="12" xfId="0" applyFont="1" applyFill="1" applyBorder="1"/>
    <xf numFmtId="9" fontId="6" fillId="0" borderId="0" xfId="0" applyNumberFormat="1" applyFont="1"/>
    <xf numFmtId="9" fontId="6" fillId="0" borderId="0" xfId="0" applyNumberFormat="1" applyFont="1" applyAlignment="1">
      <alignment horizontal="center" vertical="center"/>
    </xf>
    <xf numFmtId="0" fontId="8" fillId="0" borderId="0" xfId="0" applyFont="1"/>
    <xf numFmtId="0" fontId="4" fillId="0" borderId="0" xfId="0" applyFont="1"/>
    <xf numFmtId="165" fontId="4" fillId="0" borderId="5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65" fontId="4" fillId="6" borderId="5" xfId="0" applyNumberFormat="1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165" fontId="4" fillId="9" borderId="6" xfId="0" applyNumberFormat="1" applyFont="1" applyFill="1" applyBorder="1" applyAlignment="1">
      <alignment horizontal="center" vertical="center"/>
    </xf>
    <xf numFmtId="0" fontId="5" fillId="8" borderId="18" xfId="2" applyFont="1" applyFill="1" applyBorder="1" applyAlignment="1">
      <alignment vertical="center"/>
    </xf>
    <xf numFmtId="0" fontId="4" fillId="8" borderId="19" xfId="2" applyFont="1" applyFill="1" applyBorder="1" applyAlignment="1">
      <alignment horizontal="center" vertical="center"/>
    </xf>
    <xf numFmtId="165" fontId="5" fillId="5" borderId="6" xfId="0" applyNumberFormat="1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</cellXfs>
  <cellStyles count="3">
    <cellStyle name="40% - Ênfase3" xfId="2" builtinId="39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F2-4800-BE26-A276F24A001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F2-4800-BE26-A276F24A001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F2-4800-BE26-A276F24A0010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F2-4800-BE26-A276F24A0010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FF2-4800-BE26-A276F24A0010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FF2-4800-BE26-A276F24A00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Planilha1!$E$12:$E$17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Planilha1!$F$12:$F$17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2-4F68-81AE-B969385B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613521</xdr:colOff>
      <xdr:row>0</xdr:row>
      <xdr:rowOff>35719</xdr:rowOff>
    </xdr:from>
    <xdr:to>
      <xdr:col>8</xdr:col>
      <xdr:colOff>1431552</xdr:colOff>
      <xdr:row>0</xdr:row>
      <xdr:rowOff>1033043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C8824C2-7524-5083-E4E0-9C37DE79B4E3}"/>
            </a:ext>
          </a:extLst>
        </xdr:cNvPr>
        <xdr:cNvSpPr txBox="1"/>
      </xdr:nvSpPr>
      <xdr:spPr>
        <a:xfrm>
          <a:off x="3363865" y="35719"/>
          <a:ext cx="9069062" cy="997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6600">
              <a:solidFill>
                <a:schemeClr val="bg1"/>
              </a:solidFill>
              <a:latin typeface="Algerian" panose="04020705040A02060702" pitchFamily="82" charset="0"/>
              <a:cs typeface="Aharoni" panose="02010803020104030203" pitchFamily="2" charset="-79"/>
            </a:rPr>
            <a:t>ANNA's</a:t>
          </a:r>
          <a:r>
            <a:rPr lang="pt-BR" sz="6600" baseline="0">
              <a:solidFill>
                <a:schemeClr val="bg1"/>
              </a:solidFill>
              <a:latin typeface="Algerian" panose="04020705040A02060702" pitchFamily="82" charset="0"/>
              <a:cs typeface="Aharoni" panose="02010803020104030203" pitchFamily="2" charset="-79"/>
            </a:rPr>
            <a:t> INVEST</a:t>
          </a:r>
          <a:endParaRPr lang="pt-BR" sz="6600">
            <a:solidFill>
              <a:schemeClr val="bg1"/>
            </a:solidFill>
            <a:latin typeface="Algerian" panose="04020705040A02060702" pitchFamily="82" charset="0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2</xdr:col>
      <xdr:colOff>200116</xdr:colOff>
      <xdr:row>0</xdr:row>
      <xdr:rowOff>88776</xdr:rowOff>
    </xdr:from>
    <xdr:to>
      <xdr:col>2</xdr:col>
      <xdr:colOff>1150795</xdr:colOff>
      <xdr:row>0</xdr:row>
      <xdr:rowOff>1051361</xdr:rowOff>
    </xdr:to>
    <xdr:pic>
      <xdr:nvPicPr>
        <xdr:cNvPr id="9" name="Gráfico 8" descr="Filantropia com preenchimento sólido">
          <a:extLst>
            <a:ext uri="{FF2B5EF4-FFF2-40B4-BE49-F238E27FC236}">
              <a16:creationId xmlns:a16="http://schemas.microsoft.com/office/drawing/2014/main" id="{8FE789E6-AF47-0E36-0816-8820A923F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62366" y="88776"/>
          <a:ext cx="950679" cy="962585"/>
        </a:xfrm>
        <a:prstGeom prst="rect">
          <a:avLst/>
        </a:prstGeom>
      </xdr:spPr>
    </xdr:pic>
    <xdr:clientData/>
  </xdr:twoCellAnchor>
  <xdr:twoCellAnchor>
    <xdr:from>
      <xdr:col>7</xdr:col>
      <xdr:colOff>248708</xdr:colOff>
      <xdr:row>7</xdr:row>
      <xdr:rowOff>78317</xdr:rowOff>
    </xdr:from>
    <xdr:to>
      <xdr:col>10</xdr:col>
      <xdr:colOff>174624</xdr:colOff>
      <xdr:row>18</xdr:row>
      <xdr:rowOff>143934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A99D084-71F7-1BED-BEC9-6B5FBC9D7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Fatia">
  <a:themeElements>
    <a:clrScheme name="Fatia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Fatia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Fatia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A432-0C0E-4FC1-9275-EF3158A9ECD0}">
  <dimension ref="A1:XFC23"/>
  <sheetViews>
    <sheetView showGridLines="0" showRowColHeaders="0" tabSelected="1" zoomScale="90" zoomScaleNormal="90" workbookViewId="0">
      <selection activeCell="C15" sqref="C15"/>
    </sheetView>
  </sheetViews>
  <sheetFormatPr defaultColWidth="0" defaultRowHeight="12.75" x14ac:dyDescent="0.2"/>
  <cols>
    <col min="1" max="1" width="5.33203125" customWidth="1"/>
    <col min="2" max="2" width="43" bestFit="1" customWidth="1"/>
    <col min="3" max="3" width="23.33203125" customWidth="1"/>
    <col min="4" max="4" width="5.33203125" customWidth="1"/>
    <col min="5" max="5" width="30.33203125" bestFit="1" customWidth="1"/>
    <col min="6" max="6" width="31.33203125" bestFit="1" customWidth="1"/>
    <col min="7" max="7" width="20.33203125" bestFit="1" customWidth="1"/>
    <col min="8" max="8" width="5.33203125" customWidth="1"/>
    <col min="9" max="9" width="46.6640625" bestFit="1" customWidth="1"/>
    <col min="10" max="10" width="29.33203125" customWidth="1"/>
    <col min="11" max="11" width="9.33203125" customWidth="1"/>
    <col min="12" max="12" width="16.83203125" hidden="1"/>
    <col min="13" max="16383" width="9.33203125" hidden="1"/>
    <col min="16384" max="16384" width="2.83203125" hidden="1"/>
  </cols>
  <sheetData>
    <row r="1" spans="2:10" s="1" customFormat="1" ht="93" customHeight="1" x14ac:dyDescent="0.2"/>
    <row r="2" spans="2:10" ht="13.5" thickBot="1" x14ac:dyDescent="0.25"/>
    <row r="3" spans="2:10" ht="25.5" x14ac:dyDescent="0.2">
      <c r="B3" s="49" t="s">
        <v>5</v>
      </c>
      <c r="C3" s="50"/>
      <c r="E3" s="49" t="s">
        <v>11</v>
      </c>
      <c r="F3" s="51"/>
      <c r="G3" s="14" t="s">
        <v>15</v>
      </c>
      <c r="I3" s="47" t="s">
        <v>14</v>
      </c>
      <c r="J3" s="48"/>
    </row>
    <row r="4" spans="2:10" ht="18.75" x14ac:dyDescent="0.3">
      <c r="B4" s="11" t="s">
        <v>0</v>
      </c>
      <c r="C4" s="12">
        <v>300</v>
      </c>
      <c r="D4" s="28">
        <v>2</v>
      </c>
      <c r="E4" s="15" t="s">
        <v>6</v>
      </c>
      <c r="F4" s="16">
        <f>FV(taxa_mensal,$D4*12,aporte*-1)</f>
        <v>8168.2881892935648</v>
      </c>
      <c r="G4" s="17">
        <f>F4*rendimento_carteira</f>
        <v>49.00972913576139</v>
      </c>
      <c r="H4" s="29"/>
      <c r="I4" s="24" t="s">
        <v>13</v>
      </c>
      <c r="J4" s="30">
        <v>4870</v>
      </c>
    </row>
    <row r="5" spans="2:10" ht="18.75" x14ac:dyDescent="0.3">
      <c r="B5" s="8" t="s">
        <v>1</v>
      </c>
      <c r="C5" s="2">
        <v>15</v>
      </c>
      <c r="D5" s="28">
        <v>5</v>
      </c>
      <c r="E5" s="9" t="s">
        <v>7</v>
      </c>
      <c r="F5" s="18">
        <f>FV(taxa_mensal,$D5*12,aporte*-1)</f>
        <v>25133.074199546292</v>
      </c>
      <c r="G5" s="19">
        <f>F5*rendimento_carteira</f>
        <v>150.79844519727774</v>
      </c>
      <c r="H5" s="29"/>
      <c r="I5" s="24" t="s">
        <v>12</v>
      </c>
      <c r="J5" s="31">
        <v>6.0000000000000001E-3</v>
      </c>
    </row>
    <row r="6" spans="2:10" ht="19.5" thickBot="1" x14ac:dyDescent="0.35">
      <c r="B6" s="8" t="s">
        <v>2</v>
      </c>
      <c r="C6" s="3">
        <v>1.0789999999999999E-2</v>
      </c>
      <c r="D6" s="28">
        <v>10</v>
      </c>
      <c r="E6" s="9" t="s">
        <v>8</v>
      </c>
      <c r="F6" s="18">
        <f>FV(taxa_mensal,$D6*12,aporte*-1)</f>
        <v>72985.263759051653</v>
      </c>
      <c r="G6" s="19">
        <f>F6*rendimento_carteira</f>
        <v>437.91158255430992</v>
      </c>
      <c r="H6" s="29"/>
      <c r="I6" s="25" t="s">
        <v>32</v>
      </c>
      <c r="J6" s="32">
        <f>salario*30%</f>
        <v>1461</v>
      </c>
    </row>
    <row r="7" spans="2:10" ht="18.75" x14ac:dyDescent="0.3">
      <c r="B7" s="9" t="s">
        <v>3</v>
      </c>
      <c r="C7" s="4">
        <f>FV(taxa_mensal,qtd_anos*12,aporte*-1)</f>
        <v>164093.57894001628</v>
      </c>
      <c r="D7" s="28">
        <v>20</v>
      </c>
      <c r="E7" s="9" t="s">
        <v>9</v>
      </c>
      <c r="F7" s="20">
        <f>FV(taxa_mensal,$D7*12,aporte*-1)</f>
        <v>337559.52002912416</v>
      </c>
      <c r="G7" s="21">
        <f>F7*rendimento_carteira</f>
        <v>2025.357120174745</v>
      </c>
      <c r="H7" s="29"/>
      <c r="I7" s="29"/>
      <c r="J7" s="29"/>
    </row>
    <row r="8" spans="2:10" ht="19.5" thickBot="1" x14ac:dyDescent="0.35">
      <c r="B8" s="10" t="s">
        <v>4</v>
      </c>
      <c r="C8" s="5">
        <f>patrimonio*rendimento_carteira</f>
        <v>984.56147364009769</v>
      </c>
      <c r="D8" s="28">
        <v>30</v>
      </c>
      <c r="E8" s="10" t="s">
        <v>10</v>
      </c>
      <c r="F8" s="22">
        <f>FV(taxa_mensal,$D8*12,aporte*-1)</f>
        <v>1296650.8965014142</v>
      </c>
      <c r="G8" s="23">
        <f>F8*rendimento_carteira</f>
        <v>7779.9053790084854</v>
      </c>
      <c r="H8" s="29"/>
      <c r="I8" s="29"/>
      <c r="J8" s="29"/>
    </row>
    <row r="9" spans="2:10" ht="18.75" x14ac:dyDescent="0.3">
      <c r="B9" s="29"/>
      <c r="C9" s="29"/>
      <c r="D9" s="29"/>
      <c r="E9" s="29"/>
      <c r="F9" s="29"/>
      <c r="G9" s="29"/>
      <c r="H9" s="29"/>
      <c r="I9" s="29"/>
      <c r="J9" s="29"/>
    </row>
    <row r="10" spans="2:10" ht="19.5" thickBot="1" x14ac:dyDescent="0.35">
      <c r="B10" s="29"/>
      <c r="C10" s="29"/>
      <c r="D10" s="29"/>
      <c r="E10" s="29"/>
      <c r="F10" s="29"/>
      <c r="G10" s="29"/>
      <c r="H10" s="29"/>
      <c r="I10" s="29"/>
      <c r="J10" s="29"/>
    </row>
    <row r="11" spans="2:10" ht="18.75" x14ac:dyDescent="0.3">
      <c r="B11" s="44" t="s">
        <v>19</v>
      </c>
      <c r="C11" s="45" t="s">
        <v>16</v>
      </c>
      <c r="D11" s="33"/>
      <c r="E11" s="35" t="s">
        <v>21</v>
      </c>
      <c r="F11" s="36" t="s">
        <v>22</v>
      </c>
      <c r="G11" s="37" t="s">
        <v>23</v>
      </c>
      <c r="H11" s="29"/>
      <c r="I11" s="29"/>
      <c r="J11" s="29"/>
    </row>
    <row r="12" spans="2:10" ht="19.5" thickBot="1" x14ac:dyDescent="0.35">
      <c r="B12" s="10" t="s">
        <v>20</v>
      </c>
      <c r="C12" s="46">
        <f>aporte</f>
        <v>300</v>
      </c>
      <c r="D12" s="34"/>
      <c r="E12" s="38" t="s">
        <v>24</v>
      </c>
      <c r="F12" s="39">
        <f>VLOOKUP($C$11&amp;"-"&amp;E12,Planilha2!$A:$D,4,FALSE)</f>
        <v>0.3</v>
      </c>
      <c r="G12" s="40">
        <f>F12*$C$12</f>
        <v>90</v>
      </c>
      <c r="H12" s="29"/>
      <c r="I12" s="29"/>
      <c r="J12" s="29"/>
    </row>
    <row r="13" spans="2:10" ht="18.75" x14ac:dyDescent="0.3">
      <c r="B13" s="34"/>
      <c r="C13" s="34"/>
      <c r="D13" s="34"/>
      <c r="E13" s="38" t="s">
        <v>25</v>
      </c>
      <c r="F13" s="39">
        <f>VLOOKUP($C$11&amp;"-"&amp;E13,Planilha2!$A:$D,4,FALSE)</f>
        <v>0.5</v>
      </c>
      <c r="G13" s="40">
        <f t="shared" ref="G13:G17" si="0">F13*$C$12</f>
        <v>150</v>
      </c>
      <c r="H13" s="29"/>
      <c r="I13" s="29"/>
      <c r="J13" s="29"/>
    </row>
    <row r="14" spans="2:10" ht="18.75" x14ac:dyDescent="0.3">
      <c r="B14" s="34"/>
      <c r="C14" s="34"/>
      <c r="D14" s="34"/>
      <c r="E14" s="38" t="s">
        <v>26</v>
      </c>
      <c r="F14" s="39">
        <f>VLOOKUP($C$11&amp;"-"&amp;E14,Planilha2!$A:$D,4,FALSE)</f>
        <v>0.1</v>
      </c>
      <c r="G14" s="40">
        <f t="shared" si="0"/>
        <v>30</v>
      </c>
      <c r="H14" s="29"/>
      <c r="I14" s="29"/>
      <c r="J14" s="29"/>
    </row>
    <row r="15" spans="2:10" ht="18.75" x14ac:dyDescent="0.3">
      <c r="B15" s="34"/>
      <c r="C15" s="34"/>
      <c r="D15" s="34"/>
      <c r="E15" s="38" t="s">
        <v>27</v>
      </c>
      <c r="F15" s="39">
        <f>VLOOKUP($C$11&amp;"-"&amp;E15,Planilha2!$A:$D,4,FALSE)</f>
        <v>0.1</v>
      </c>
      <c r="G15" s="40">
        <f t="shared" si="0"/>
        <v>30</v>
      </c>
      <c r="H15" s="29"/>
      <c r="I15" s="29"/>
      <c r="J15" s="29"/>
    </row>
    <row r="16" spans="2:10" ht="18.75" x14ac:dyDescent="0.3">
      <c r="B16" s="34"/>
      <c r="C16" s="34"/>
      <c r="D16" s="34"/>
      <c r="E16" s="38" t="s">
        <v>28</v>
      </c>
      <c r="F16" s="39">
        <f>VLOOKUP($C$11&amp;"-"&amp;E16,Planilha2!$A:$D,4,FALSE)</f>
        <v>0</v>
      </c>
      <c r="G16" s="40">
        <f t="shared" si="0"/>
        <v>0</v>
      </c>
      <c r="H16" s="29"/>
      <c r="I16" s="29"/>
      <c r="J16" s="29"/>
    </row>
    <row r="17" spans="2:10" ht="18.75" x14ac:dyDescent="0.3">
      <c r="B17" s="34"/>
      <c r="C17" s="34"/>
      <c r="D17" s="34"/>
      <c r="E17" s="38" t="s">
        <v>29</v>
      </c>
      <c r="F17" s="39">
        <f>VLOOKUP($C$11&amp;"-"&amp;E17,Planilha2!$A:$D,4,FALSE)</f>
        <v>0</v>
      </c>
      <c r="G17" s="40">
        <f t="shared" si="0"/>
        <v>0</v>
      </c>
      <c r="H17" s="29"/>
      <c r="I17" s="29"/>
      <c r="J17" s="29"/>
    </row>
    <row r="18" spans="2:10" ht="19.5" thickBot="1" x14ac:dyDescent="0.35">
      <c r="B18" s="34"/>
      <c r="C18" s="34"/>
      <c r="D18" s="34"/>
      <c r="E18" s="41" t="s">
        <v>33</v>
      </c>
      <c r="F18" s="42"/>
      <c r="G18" s="43">
        <f>SUM(G12:G17)</f>
        <v>300</v>
      </c>
      <c r="H18" s="29"/>
      <c r="I18" s="29"/>
      <c r="J18" s="29"/>
    </row>
    <row r="19" spans="2:10" ht="15.75" x14ac:dyDescent="0.25">
      <c r="E19" s="6"/>
      <c r="F19" s="6"/>
      <c r="G19" s="6"/>
    </row>
    <row r="23" spans="2:10" x14ac:dyDescent="0.2">
      <c r="F23" s="13"/>
    </row>
  </sheetData>
  <mergeCells count="3">
    <mergeCell ref="I3:J3"/>
    <mergeCell ref="B3:C3"/>
    <mergeCell ref="E3:F3"/>
  </mergeCells>
  <dataValidations disablePrompts="1" count="1">
    <dataValidation type="list" allowBlank="1" showInputMessage="1" showErrorMessage="1" sqref="C11" xr:uid="{DE105C8B-7D54-4422-8F84-964F593699F4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EE6C7-A0F8-467C-9A21-E93A03A40FAD}">
  <dimension ref="A3:D21"/>
  <sheetViews>
    <sheetView topLeftCell="A3" workbookViewId="0">
      <selection activeCell="D16" sqref="D16"/>
    </sheetView>
  </sheetViews>
  <sheetFormatPr defaultRowHeight="12.75" x14ac:dyDescent="0.2"/>
  <cols>
    <col min="1" max="1" width="41.1640625" bestFit="1" customWidth="1"/>
    <col min="2" max="2" width="18" bestFit="1" customWidth="1"/>
    <col min="3" max="3" width="23.33203125" bestFit="1" customWidth="1"/>
    <col min="4" max="4" width="7.1640625" bestFit="1" customWidth="1"/>
  </cols>
  <sheetData>
    <row r="3" spans="1:4" ht="18.75" x14ac:dyDescent="0.3">
      <c r="A3" s="7" t="s">
        <v>31</v>
      </c>
      <c r="B3" s="7" t="s">
        <v>19</v>
      </c>
      <c r="C3" s="7" t="s">
        <v>21</v>
      </c>
      <c r="D3" s="7" t="s">
        <v>30</v>
      </c>
    </row>
    <row r="4" spans="1:4" ht="18.75" x14ac:dyDescent="0.3">
      <c r="A4" s="7" t="str">
        <f>B4&amp;"-"&amp;C4</f>
        <v>Conservador-Papel</v>
      </c>
      <c r="B4" s="7" t="s">
        <v>16</v>
      </c>
      <c r="C4" s="7" t="s">
        <v>24</v>
      </c>
      <c r="D4" s="27">
        <v>0.3</v>
      </c>
    </row>
    <row r="5" spans="1:4" ht="18.75" x14ac:dyDescent="0.3">
      <c r="A5" s="7" t="str">
        <f t="shared" ref="A5:A14" si="0">B5&amp;"-"&amp;C5</f>
        <v>Conservador-Tijolo</v>
      </c>
      <c r="B5" s="7" t="s">
        <v>16</v>
      </c>
      <c r="C5" s="7" t="s">
        <v>25</v>
      </c>
      <c r="D5" s="27">
        <v>0.5</v>
      </c>
    </row>
    <row r="6" spans="1:4" ht="18.75" x14ac:dyDescent="0.3">
      <c r="A6" s="7" t="str">
        <f t="shared" si="0"/>
        <v>Conservador-Híbridos</v>
      </c>
      <c r="B6" s="7" t="s">
        <v>16</v>
      </c>
      <c r="C6" s="7" t="s">
        <v>26</v>
      </c>
      <c r="D6" s="27">
        <v>0.1</v>
      </c>
    </row>
    <row r="7" spans="1:4" ht="18.75" x14ac:dyDescent="0.3">
      <c r="A7" s="7" t="str">
        <f t="shared" si="0"/>
        <v>Conservador-FOF's</v>
      </c>
      <c r="B7" s="7" t="s">
        <v>16</v>
      </c>
      <c r="C7" s="7" t="s">
        <v>27</v>
      </c>
      <c r="D7" s="27">
        <v>0.1</v>
      </c>
    </row>
    <row r="8" spans="1:4" ht="18.75" x14ac:dyDescent="0.3">
      <c r="A8" s="7" t="str">
        <f t="shared" si="0"/>
        <v>Conservador-Desenvolvimento</v>
      </c>
      <c r="B8" s="7" t="s">
        <v>16</v>
      </c>
      <c r="C8" s="7" t="s">
        <v>28</v>
      </c>
      <c r="D8" s="27">
        <v>0</v>
      </c>
    </row>
    <row r="9" spans="1:4" ht="18.75" x14ac:dyDescent="0.3">
      <c r="A9" s="7" t="str">
        <f t="shared" si="0"/>
        <v>Conservador-Hotelarias</v>
      </c>
      <c r="B9" s="7" t="s">
        <v>16</v>
      </c>
      <c r="C9" s="7" t="s">
        <v>29</v>
      </c>
      <c r="D9" s="27">
        <v>0</v>
      </c>
    </row>
    <row r="10" spans="1:4" ht="18.75" x14ac:dyDescent="0.3">
      <c r="A10" s="7" t="str">
        <f t="shared" si="0"/>
        <v>Moderado-Papel</v>
      </c>
      <c r="B10" s="7" t="s">
        <v>17</v>
      </c>
      <c r="C10" s="7" t="s">
        <v>24</v>
      </c>
      <c r="D10" s="26">
        <v>0.32</v>
      </c>
    </row>
    <row r="11" spans="1:4" ht="18.75" x14ac:dyDescent="0.3">
      <c r="A11" s="7" t="str">
        <f t="shared" si="0"/>
        <v>Moderado-Tijolo</v>
      </c>
      <c r="B11" s="7" t="s">
        <v>17</v>
      </c>
      <c r="C11" s="7" t="s">
        <v>25</v>
      </c>
      <c r="D11" s="26">
        <v>0.35</v>
      </c>
    </row>
    <row r="12" spans="1:4" ht="18.75" x14ac:dyDescent="0.3">
      <c r="A12" s="7" t="str">
        <f t="shared" si="0"/>
        <v>Moderado-Híbridos</v>
      </c>
      <c r="B12" s="7" t="s">
        <v>17</v>
      </c>
      <c r="C12" s="7" t="s">
        <v>26</v>
      </c>
      <c r="D12" s="26">
        <v>0.08</v>
      </c>
    </row>
    <row r="13" spans="1:4" ht="18.75" x14ac:dyDescent="0.3">
      <c r="A13" s="7" t="str">
        <f t="shared" si="0"/>
        <v>Moderado-FOF's</v>
      </c>
      <c r="B13" s="7" t="s">
        <v>17</v>
      </c>
      <c r="C13" s="7" t="s">
        <v>27</v>
      </c>
      <c r="D13" s="26">
        <v>0.05</v>
      </c>
    </row>
    <row r="14" spans="1:4" ht="18.75" x14ac:dyDescent="0.3">
      <c r="A14" s="7" t="str">
        <f t="shared" si="0"/>
        <v>Moderado-Desenvolvimento</v>
      </c>
      <c r="B14" s="7" t="s">
        <v>17</v>
      </c>
      <c r="C14" s="7" t="s">
        <v>28</v>
      </c>
      <c r="D14" s="26">
        <v>0.1</v>
      </c>
    </row>
    <row r="15" spans="1:4" ht="18.75" x14ac:dyDescent="0.3">
      <c r="A15" s="7" t="str">
        <f>B15&amp;"-"&amp;C15</f>
        <v>Moderado-Hotelarias</v>
      </c>
      <c r="B15" s="7" t="s">
        <v>17</v>
      </c>
      <c r="C15" s="7" t="s">
        <v>29</v>
      </c>
      <c r="D15" s="26">
        <v>0.1</v>
      </c>
    </row>
    <row r="16" spans="1:4" ht="18.75" x14ac:dyDescent="0.3">
      <c r="A16" s="7" t="str">
        <f t="shared" ref="A16:A21" si="1">B16&amp;"-"&amp;C16</f>
        <v>Agressivo-Papel</v>
      </c>
      <c r="B16" s="7" t="s">
        <v>18</v>
      </c>
      <c r="C16" s="7" t="s">
        <v>24</v>
      </c>
      <c r="D16" s="26">
        <v>0.5</v>
      </c>
    </row>
    <row r="17" spans="1:4" ht="18.75" x14ac:dyDescent="0.3">
      <c r="A17" s="7" t="str">
        <f t="shared" si="1"/>
        <v>Agressivo-Tijolo</v>
      </c>
      <c r="B17" s="7" t="s">
        <v>18</v>
      </c>
      <c r="C17" s="7" t="s">
        <v>25</v>
      </c>
      <c r="D17" s="26">
        <v>0.1</v>
      </c>
    </row>
    <row r="18" spans="1:4" ht="18.75" x14ac:dyDescent="0.3">
      <c r="A18" s="7" t="str">
        <f t="shared" si="1"/>
        <v>Agressivo-Híbridos</v>
      </c>
      <c r="B18" s="7" t="s">
        <v>18</v>
      </c>
      <c r="C18" s="7" t="s">
        <v>26</v>
      </c>
      <c r="D18" s="26">
        <v>0.05</v>
      </c>
    </row>
    <row r="19" spans="1:4" ht="18.75" x14ac:dyDescent="0.3">
      <c r="A19" s="7" t="str">
        <f t="shared" si="1"/>
        <v>Agressivo-FOF's</v>
      </c>
      <c r="B19" s="7" t="s">
        <v>18</v>
      </c>
      <c r="C19" s="7" t="s">
        <v>27</v>
      </c>
      <c r="D19" s="26">
        <v>0.05</v>
      </c>
    </row>
    <row r="20" spans="1:4" ht="18.75" x14ac:dyDescent="0.3">
      <c r="A20" s="7" t="str">
        <f t="shared" si="1"/>
        <v>Agressivo-Desenvolvimento</v>
      </c>
      <c r="B20" s="7" t="s">
        <v>18</v>
      </c>
      <c r="C20" s="7" t="s">
        <v>28</v>
      </c>
      <c r="D20" s="26">
        <v>0.2</v>
      </c>
    </row>
    <row r="21" spans="1:4" ht="18.75" x14ac:dyDescent="0.3">
      <c r="A21" s="7" t="str">
        <f t="shared" si="1"/>
        <v>Agressivo-Hotelarias</v>
      </c>
      <c r="B21" s="7" t="s">
        <v>18</v>
      </c>
      <c r="C21" s="7" t="s">
        <v>29</v>
      </c>
      <c r="D21" s="26">
        <v>0.1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Clara</dc:creator>
  <cp:lastModifiedBy>Anna Clara</cp:lastModifiedBy>
  <dcterms:created xsi:type="dcterms:W3CDTF">2026-01-09T13:18:05Z</dcterms:created>
  <dcterms:modified xsi:type="dcterms:W3CDTF">2026-01-09T17:15:34Z</dcterms:modified>
</cp:coreProperties>
</file>